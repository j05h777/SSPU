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b\Documents\JOSH\WORK\SSPU\COLLEGE\Statistical Methods for Data Science\skills\skill1\"/>
    </mc:Choice>
  </mc:AlternateContent>
  <xr:revisionPtr revIDLastSave="0" documentId="13_ncr:1_{B9225BC4-8C2A-4507-B266-F4ED7A726467}" xr6:coauthVersionLast="47" xr6:coauthVersionMax="47" xr10:uidLastSave="{00000000-0000-0000-0000-000000000000}"/>
  <bookViews>
    <workbookView xWindow="-108" yWindow="-108" windowWidth="23256" windowHeight="12456" activeTab="2" xr2:uid="{CCC4D97B-2F34-4ECD-8E3C-703FF6BC5BCA}"/>
  </bookViews>
  <sheets>
    <sheet name="Online_Shopping" sheetId="1" r:id="rId1"/>
    <sheet name="skills1soln" sheetId="2" r:id="rId2"/>
    <sheet name="skills1soln2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3" l="1"/>
  <c r="I20" i="3"/>
  <c r="I21" i="3"/>
  <c r="I22" i="3"/>
  <c r="I23" i="3"/>
  <c r="B21" i="2"/>
  <c r="B20" i="2"/>
  <c r="B19" i="2"/>
  <c r="B18" i="2"/>
</calcChain>
</file>

<file path=xl/sharedStrings.xml><?xml version="1.0" encoding="utf-8"?>
<sst xmlns="http://schemas.openxmlformats.org/spreadsheetml/2006/main" count="336" uniqueCount="76">
  <si>
    <t>Customer</t>
  </si>
  <si>
    <t>Age</t>
  </si>
  <si>
    <t>MonthlyIncome</t>
  </si>
  <si>
    <t>PurchasesPerMonth</t>
  </si>
  <si>
    <t>AverageBill</t>
  </si>
  <si>
    <t>PaymentMode</t>
  </si>
  <si>
    <t>C01</t>
  </si>
  <si>
    <t>NetBanking</t>
  </si>
  <si>
    <t>C02</t>
  </si>
  <si>
    <t>UPI</t>
  </si>
  <si>
    <t>C03</t>
  </si>
  <si>
    <t>C04</t>
  </si>
  <si>
    <t>Cash</t>
  </si>
  <si>
    <t>C05</t>
  </si>
  <si>
    <t>Card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</si>
  <si>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</si>
  <si>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</si>
  <si>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</si>
  <si>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</si>
  <si>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</si>
  <si>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</si>
  <si>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</si>
  <si>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</si>
  <si>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</si>
  <si>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</si>
  <si>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</si>
  <si>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</si>
  <si>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</si>
  <si>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</si>
  <si>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</si>
  <si>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</si>
  <si>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</si>
  <si>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</si>
  <si>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</si>
  <si>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</si>
  <si>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</si>
  <si>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</si>
  <si>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</si>
  <si>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</si>
  <si>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</si>
  <si>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</si>
  <si>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</si>
  <si>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</si>
  <si>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</si>
  <si>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</si>
  <si>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</si>
  <si>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</si>
  <si>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</si>
  <si>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</si>
  <si>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</si>
  <si>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</si>
  <si>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</si>
  <si>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</si>
  <si>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</si>
  <si>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</si>
  <si>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</si>
  <si>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</si>
  <si>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</si>
  <si>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</si>
  <si>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</si>
  <si>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Tasks:</t>
  </si>
  <si>
    <t>Find out appropriate measeres on this dataset using Excel functions/formulas.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</si>
  <si>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</si>
  <si>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</si>
  <si>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</si>
  <si>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</si>
  <si>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</si>
  <si>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</si>
  <si>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</si>
  <si>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</si>
  <si>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</si>
  <si>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</si>
  <si>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</si>
  <si>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</si>
  <si>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</si>
  <si>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Netbanking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</si>
</sst>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3" xfId="0" applyBorder="1"/>
    <xf numFmtId="0" fontId="0" fillId="0" borderId="3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B982-30CA-4149-91D2-41BF1A4BE07B}">
  <dimension ref="A1:H51"/>
  <sheetViews>
    <sheetView workbookViewId="0">
      <selection activeCell="H12" sqref="H12"/>
    </sheetView>
  </sheetViews>
  <sheetFormatPr defaultRowHeight="14.4" x14ac:dyDescent="0.3"/>
  <cols>
    <col min="2" max="2" width="8.6640625" customWidth="1"/>
    <col min="3" max="3" width="14.109375" bestFit="1" customWidth="1"/>
    <col min="4" max="4" width="17.77734375" bestFit="1" customWidth="1"/>
    <col min="5" max="5" width="10" bestFit="1" customWidth="1"/>
    <col min="6" max="6" width="13.109375" bestFit="1" customWidth="1"/>
    <col min="8" max="8" width="16.5546875" bestFit="1" customWidth="1"/>
    <col min="9" max="9" width="12.6640625" bestFit="1" customWidth="1"/>
    <col min="10" max="10" width="16.5546875" bestFit="1" customWidth="1"/>
    <col min="11" max="11" width="12.6640625" bestFit="1" customWidth="1"/>
    <col min="12" max="12" width="17.88671875" bestFit="1" customWidth="1"/>
    <col min="13" max="13" width="12.6640625" bestFit="1" customWidth="1"/>
    <col min="14" max="14" width="16.5546875" bestFit="1" customWidth="1"/>
    <col min="15" max="15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 t="s">
        <v>6</v>
      </c>
      <c r="B2">
        <v>23</v>
      </c>
      <c r="C2">
        <v>89942</v>
      </c>
      <c r="D2">
        <v>5</v>
      </c>
      <c r="E2">
        <v>3780</v>
      </c>
      <c r="F2" t="s">
        <v>7</v>
      </c>
      <c r="H2" s="1" t="s">
        <v>60</v>
      </c>
    </row>
    <row r="3" spans="1:8" x14ac:dyDescent="0.3">
      <c r="A3" t="s">
        <v>8</v>
      </c>
      <c r="B3">
        <v>41</v>
      </c>
      <c r="C3">
        <v>36542</v>
      </c>
      <c r="D3">
        <v>6</v>
      </c>
      <c r="E3">
        <v>2567</v>
      </c>
      <c r="F3" t="s">
        <v>9</v>
      </c>
      <c r="H3" t="s">
        <v>61</v>
      </c>
    </row>
    <row r="4" spans="1:8" x14ac:dyDescent="0.3">
      <c r="A4" t="s">
        <v>10</v>
      </c>
      <c r="B4">
        <v>55</v>
      </c>
      <c r="C4">
        <v>77976</v>
      </c>
      <c r="D4">
        <v>9</v>
      </c>
      <c r="E4">
        <v>509</v>
      </c>
      <c r="F4" t="s">
        <v>7</v>
      </c>
    </row>
    <row r="5" spans="1:8" x14ac:dyDescent="0.3">
      <c r="A5" t="s">
        <v>11</v>
      </c>
      <c r="B5">
        <v>54</v>
      </c>
      <c r="C5">
        <v>79165</v>
      </c>
      <c r="D5">
        <v>1</v>
      </c>
      <c r="E5">
        <v>2036</v>
      </c>
      <c r="F5" t="s">
        <v>12</v>
      </c>
    </row>
    <row r="6" spans="1:8" x14ac:dyDescent="0.3">
      <c r="A6" t="s">
        <v>13</v>
      </c>
      <c r="B6">
        <v>24</v>
      </c>
      <c r="C6">
        <v>106609</v>
      </c>
      <c r="D6">
        <v>8</v>
      </c>
      <c r="E6">
        <v>4121</v>
      </c>
      <c r="F6" t="s">
        <v>14</v>
      </c>
    </row>
    <row r="7" spans="1:8" x14ac:dyDescent="0.3">
      <c r="A7" t="s">
        <v>15</v>
      </c>
      <c r="B7">
        <v>39</v>
      </c>
      <c r="C7">
        <v>60003</v>
      </c>
      <c r="D7">
        <v>9</v>
      </c>
      <c r="E7">
        <v>1573</v>
      </c>
      <c r="F7" t="s">
        <v>7</v>
      </c>
    </row>
    <row r="8" spans="1:8" x14ac:dyDescent="0.3">
      <c r="A8" t="s">
        <v>16</v>
      </c>
      <c r="B8">
        <v>22</v>
      </c>
      <c r="C8">
        <v>116521</v>
      </c>
      <c r="D8">
        <v>8</v>
      </c>
      <c r="E8">
        <v>1494</v>
      </c>
      <c r="F8" t="s">
        <v>14</v>
      </c>
    </row>
    <row r="9" spans="1:8" x14ac:dyDescent="0.3">
      <c r="A9" t="s">
        <v>17</v>
      </c>
      <c r="B9">
        <v>21</v>
      </c>
      <c r="C9">
        <v>118032</v>
      </c>
      <c r="D9">
        <v>3</v>
      </c>
      <c r="E9">
        <v>3045</v>
      </c>
      <c r="F9" t="s">
        <v>7</v>
      </c>
    </row>
    <row r="10" spans="1:8" x14ac:dyDescent="0.3">
      <c r="A10" t="s">
        <v>18</v>
      </c>
      <c r="B10">
        <v>50</v>
      </c>
      <c r="C10">
        <v>37217</v>
      </c>
      <c r="D10">
        <v>4</v>
      </c>
      <c r="E10">
        <v>1429</v>
      </c>
      <c r="F10" t="s">
        <v>9</v>
      </c>
    </row>
    <row r="11" spans="1:8" x14ac:dyDescent="0.3">
      <c r="A11" t="s">
        <v>19</v>
      </c>
      <c r="B11">
        <v>39</v>
      </c>
      <c r="C11">
        <v>109896</v>
      </c>
      <c r="D11">
        <v>3</v>
      </c>
      <c r="E11">
        <v>4582</v>
      </c>
      <c r="F11" t="s">
        <v>12</v>
      </c>
    </row>
    <row r="12" spans="1:8" x14ac:dyDescent="0.3">
      <c r="A12" t="s">
        <v>20</v>
      </c>
      <c r="B12">
        <v>36</v>
      </c>
      <c r="C12">
        <v>79459</v>
      </c>
      <c r="D12">
        <v>8</v>
      </c>
      <c r="E12">
        <v>4368</v>
      </c>
      <c r="F12" t="s">
        <v>7</v>
      </c>
    </row>
    <row r="13" spans="1:8" x14ac:dyDescent="0.3">
      <c r="A13" t="s">
        <v>21</v>
      </c>
      <c r="B13">
        <v>33</v>
      </c>
      <c r="C13">
        <v>97255</v>
      </c>
      <c r="D13">
        <v>3</v>
      </c>
      <c r="E13">
        <v>3642</v>
      </c>
      <c r="F13" t="s">
        <v>14</v>
      </c>
    </row>
    <row r="14" spans="1:8" x14ac:dyDescent="0.3">
      <c r="A14" t="s">
        <v>22</v>
      </c>
      <c r="B14">
        <v>42</v>
      </c>
      <c r="C14">
        <v>34150</v>
      </c>
      <c r="D14">
        <v>5</v>
      </c>
      <c r="E14">
        <v>3899</v>
      </c>
      <c r="F14" t="s">
        <v>12</v>
      </c>
    </row>
    <row r="15" spans="1:8" x14ac:dyDescent="0.3">
      <c r="A15" t="s">
        <v>23</v>
      </c>
      <c r="B15">
        <v>52</v>
      </c>
      <c r="C15">
        <v>25336</v>
      </c>
      <c r="D15">
        <v>5</v>
      </c>
      <c r="E15">
        <v>2945</v>
      </c>
      <c r="F15" t="s">
        <v>14</v>
      </c>
    </row>
    <row r="16" spans="1:8" x14ac:dyDescent="0.3">
      <c r="A16" t="s">
        <v>24</v>
      </c>
      <c r="B16">
        <v>43</v>
      </c>
      <c r="C16">
        <v>83529</v>
      </c>
      <c r="D16">
        <v>9</v>
      </c>
      <c r="E16">
        <v>4467</v>
      </c>
      <c r="F16" t="s">
        <v>12</v>
      </c>
    </row>
    <row r="17" spans="1:6" x14ac:dyDescent="0.3">
      <c r="A17" t="s">
        <v>25</v>
      </c>
      <c r="B17">
        <v>50</v>
      </c>
      <c r="C17">
        <v>97340</v>
      </c>
      <c r="D17">
        <v>9</v>
      </c>
      <c r="E17">
        <v>3590</v>
      </c>
      <c r="F17" t="s">
        <v>12</v>
      </c>
    </row>
    <row r="18" spans="1:6" x14ac:dyDescent="0.3">
      <c r="A18" t="s">
        <v>26</v>
      </c>
      <c r="B18">
        <v>35</v>
      </c>
      <c r="C18">
        <v>49727</v>
      </c>
      <c r="D18">
        <v>4</v>
      </c>
      <c r="E18">
        <v>3637</v>
      </c>
      <c r="F18" t="s">
        <v>7</v>
      </c>
    </row>
    <row r="19" spans="1:6" x14ac:dyDescent="0.3">
      <c r="A19" t="s">
        <v>27</v>
      </c>
      <c r="B19">
        <v>45</v>
      </c>
      <c r="C19">
        <v>30720</v>
      </c>
      <c r="D19">
        <v>6</v>
      </c>
      <c r="E19">
        <v>4374</v>
      </c>
      <c r="F19" t="s">
        <v>7</v>
      </c>
    </row>
    <row r="20" spans="1:6" x14ac:dyDescent="0.3">
      <c r="A20" t="s">
        <v>28</v>
      </c>
      <c r="B20">
        <v>23</v>
      </c>
      <c r="C20">
        <v>111991</v>
      </c>
      <c r="D20">
        <v>3</v>
      </c>
      <c r="E20">
        <v>4557</v>
      </c>
      <c r="F20" t="s">
        <v>14</v>
      </c>
    </row>
    <row r="21" spans="1:6" x14ac:dyDescent="0.3">
      <c r="A21" t="s">
        <v>29</v>
      </c>
      <c r="B21">
        <v>27</v>
      </c>
      <c r="C21">
        <v>90836</v>
      </c>
      <c r="D21">
        <v>10</v>
      </c>
      <c r="E21">
        <v>3219</v>
      </c>
      <c r="F21" t="s">
        <v>7</v>
      </c>
    </row>
    <row r="22" spans="1:6" x14ac:dyDescent="0.3">
      <c r="A22" t="s">
        <v>30</v>
      </c>
      <c r="B22">
        <v>21</v>
      </c>
      <c r="C22">
        <v>38069</v>
      </c>
      <c r="D22">
        <v>9</v>
      </c>
      <c r="E22">
        <v>4243</v>
      </c>
      <c r="F22" t="s">
        <v>14</v>
      </c>
    </row>
    <row r="23" spans="1:6" x14ac:dyDescent="0.3">
      <c r="A23" t="s">
        <v>31</v>
      </c>
      <c r="B23">
        <v>51</v>
      </c>
      <c r="C23">
        <v>78736</v>
      </c>
      <c r="D23">
        <v>3</v>
      </c>
      <c r="E23">
        <v>1112</v>
      </c>
      <c r="F23" t="s">
        <v>12</v>
      </c>
    </row>
    <row r="24" spans="1:6" x14ac:dyDescent="0.3">
      <c r="A24" t="s">
        <v>32</v>
      </c>
      <c r="B24">
        <v>26</v>
      </c>
      <c r="C24">
        <v>69375</v>
      </c>
      <c r="D24">
        <v>10</v>
      </c>
      <c r="E24">
        <v>3756</v>
      </c>
      <c r="F24" t="s">
        <v>12</v>
      </c>
    </row>
    <row r="25" spans="1:6" x14ac:dyDescent="0.3">
      <c r="A25" t="s">
        <v>33</v>
      </c>
      <c r="B25">
        <v>41</v>
      </c>
      <c r="C25">
        <v>113389</v>
      </c>
      <c r="D25">
        <v>9</v>
      </c>
      <c r="E25">
        <v>3613</v>
      </c>
      <c r="F25" t="s">
        <v>7</v>
      </c>
    </row>
    <row r="26" spans="1:6" x14ac:dyDescent="0.3">
      <c r="A26" t="s">
        <v>34</v>
      </c>
      <c r="B26">
        <v>36</v>
      </c>
      <c r="C26">
        <v>95912</v>
      </c>
      <c r="D26">
        <v>1</v>
      </c>
      <c r="E26">
        <v>1060</v>
      </c>
      <c r="F26" t="s">
        <v>12</v>
      </c>
    </row>
    <row r="27" spans="1:6" x14ac:dyDescent="0.3">
      <c r="A27" t="s">
        <v>35</v>
      </c>
      <c r="B27">
        <v>27</v>
      </c>
      <c r="C27">
        <v>54817</v>
      </c>
      <c r="D27">
        <v>2</v>
      </c>
      <c r="E27">
        <v>4055</v>
      </c>
      <c r="F27" t="s">
        <v>9</v>
      </c>
    </row>
    <row r="28" spans="1:6" x14ac:dyDescent="0.3">
      <c r="A28" t="s">
        <v>36</v>
      </c>
      <c r="B28">
        <v>22</v>
      </c>
      <c r="C28">
        <v>83153</v>
      </c>
      <c r="D28">
        <v>3</v>
      </c>
      <c r="E28">
        <v>2953</v>
      </c>
      <c r="F28" t="s">
        <v>9</v>
      </c>
    </row>
    <row r="29" spans="1:6" x14ac:dyDescent="0.3">
      <c r="A29" t="s">
        <v>37</v>
      </c>
      <c r="B29">
        <v>43</v>
      </c>
      <c r="C29">
        <v>67516</v>
      </c>
      <c r="D29">
        <v>1</v>
      </c>
      <c r="E29">
        <v>2903</v>
      </c>
      <c r="F29" t="s">
        <v>12</v>
      </c>
    </row>
    <row r="30" spans="1:6" x14ac:dyDescent="0.3">
      <c r="A30" t="s">
        <v>38</v>
      </c>
      <c r="B30">
        <v>54</v>
      </c>
      <c r="C30">
        <v>81450</v>
      </c>
      <c r="D30">
        <v>3</v>
      </c>
      <c r="E30">
        <v>2500</v>
      </c>
      <c r="F30" t="s">
        <v>7</v>
      </c>
    </row>
    <row r="31" spans="1:6" x14ac:dyDescent="0.3">
      <c r="A31" t="s">
        <v>39</v>
      </c>
      <c r="B31">
        <v>32</v>
      </c>
      <c r="C31">
        <v>99177</v>
      </c>
      <c r="D31">
        <v>3</v>
      </c>
      <c r="E31">
        <v>1892</v>
      </c>
      <c r="F31" t="s">
        <v>9</v>
      </c>
    </row>
    <row r="32" spans="1:6" x14ac:dyDescent="0.3">
      <c r="A32" t="s">
        <v>40</v>
      </c>
      <c r="B32">
        <v>52</v>
      </c>
      <c r="C32">
        <v>104887</v>
      </c>
      <c r="D32">
        <v>7</v>
      </c>
      <c r="E32">
        <v>2472</v>
      </c>
      <c r="F32" t="s">
        <v>14</v>
      </c>
    </row>
    <row r="33" spans="1:6" x14ac:dyDescent="0.3">
      <c r="A33" t="s">
        <v>41</v>
      </c>
      <c r="B33">
        <v>50</v>
      </c>
      <c r="C33">
        <v>55433</v>
      </c>
      <c r="D33">
        <v>8</v>
      </c>
      <c r="E33">
        <v>2580</v>
      </c>
      <c r="F33" t="s">
        <v>12</v>
      </c>
    </row>
    <row r="34" spans="1:6" x14ac:dyDescent="0.3">
      <c r="A34" t="s">
        <v>42</v>
      </c>
      <c r="B34">
        <v>39</v>
      </c>
      <c r="C34">
        <v>112404</v>
      </c>
      <c r="D34">
        <v>1</v>
      </c>
      <c r="E34">
        <v>4311</v>
      </c>
      <c r="F34" t="s">
        <v>14</v>
      </c>
    </row>
    <row r="35" spans="1:6" x14ac:dyDescent="0.3">
      <c r="A35" t="s">
        <v>43</v>
      </c>
      <c r="B35">
        <v>40</v>
      </c>
      <c r="C35">
        <v>34681</v>
      </c>
      <c r="D35">
        <v>8</v>
      </c>
      <c r="E35">
        <v>3330</v>
      </c>
      <c r="F35" t="s">
        <v>7</v>
      </c>
    </row>
    <row r="36" spans="1:6" x14ac:dyDescent="0.3">
      <c r="A36" t="s">
        <v>44</v>
      </c>
      <c r="B36">
        <v>40</v>
      </c>
      <c r="C36">
        <v>115480</v>
      </c>
      <c r="D36">
        <v>5</v>
      </c>
      <c r="E36">
        <v>4242</v>
      </c>
      <c r="F36" t="s">
        <v>14</v>
      </c>
    </row>
    <row r="37" spans="1:6" x14ac:dyDescent="0.3">
      <c r="A37" t="s">
        <v>45</v>
      </c>
      <c r="B37">
        <v>36</v>
      </c>
      <c r="C37">
        <v>75422</v>
      </c>
      <c r="D37">
        <v>8</v>
      </c>
      <c r="E37">
        <v>1373</v>
      </c>
      <c r="F37" t="s">
        <v>7</v>
      </c>
    </row>
    <row r="38" spans="1:6" x14ac:dyDescent="0.3">
      <c r="A38" t="s">
        <v>46</v>
      </c>
      <c r="B38">
        <v>39</v>
      </c>
      <c r="C38">
        <v>99963</v>
      </c>
      <c r="D38">
        <v>6</v>
      </c>
      <c r="E38">
        <v>2923</v>
      </c>
      <c r="F38" t="s">
        <v>9</v>
      </c>
    </row>
    <row r="39" spans="1:6" x14ac:dyDescent="0.3">
      <c r="A39" t="s">
        <v>47</v>
      </c>
      <c r="B39">
        <v>21</v>
      </c>
      <c r="C39">
        <v>111275</v>
      </c>
      <c r="D39">
        <v>7</v>
      </c>
      <c r="E39">
        <v>2748</v>
      </c>
      <c r="F39" t="s">
        <v>9</v>
      </c>
    </row>
    <row r="40" spans="1:6" x14ac:dyDescent="0.3">
      <c r="A40" t="s">
        <v>48</v>
      </c>
      <c r="B40">
        <v>35</v>
      </c>
      <c r="C40">
        <v>104482</v>
      </c>
      <c r="D40">
        <v>8</v>
      </c>
      <c r="E40">
        <v>2844</v>
      </c>
      <c r="F40" t="s">
        <v>12</v>
      </c>
    </row>
    <row r="41" spans="1:6" x14ac:dyDescent="0.3">
      <c r="A41" t="s">
        <v>49</v>
      </c>
      <c r="B41">
        <v>29</v>
      </c>
      <c r="C41">
        <v>53705</v>
      </c>
      <c r="D41">
        <v>4</v>
      </c>
      <c r="E41">
        <v>2553</v>
      </c>
      <c r="F41" t="s">
        <v>9</v>
      </c>
    </row>
    <row r="42" spans="1:6" x14ac:dyDescent="0.3">
      <c r="A42" t="s">
        <v>50</v>
      </c>
      <c r="B42">
        <v>49</v>
      </c>
      <c r="C42">
        <v>107242</v>
      </c>
      <c r="D42">
        <v>1</v>
      </c>
      <c r="E42">
        <v>3030</v>
      </c>
      <c r="F42" t="s">
        <v>9</v>
      </c>
    </row>
    <row r="43" spans="1:6" x14ac:dyDescent="0.3">
      <c r="A43" t="s">
        <v>51</v>
      </c>
      <c r="B43">
        <v>26</v>
      </c>
      <c r="C43">
        <v>100965</v>
      </c>
      <c r="D43">
        <v>6</v>
      </c>
      <c r="E43">
        <v>1576</v>
      </c>
      <c r="F43" t="s">
        <v>12</v>
      </c>
    </row>
    <row r="44" spans="1:6" x14ac:dyDescent="0.3">
      <c r="A44" t="s">
        <v>52</v>
      </c>
      <c r="B44">
        <v>33</v>
      </c>
      <c r="C44">
        <v>67823</v>
      </c>
      <c r="D44">
        <v>7</v>
      </c>
      <c r="E44">
        <v>1938</v>
      </c>
      <c r="F44" t="s">
        <v>14</v>
      </c>
    </row>
    <row r="45" spans="1:6" x14ac:dyDescent="0.3">
      <c r="A45" t="s">
        <v>53</v>
      </c>
      <c r="B45">
        <v>53</v>
      </c>
      <c r="C45">
        <v>95701</v>
      </c>
      <c r="D45">
        <v>6</v>
      </c>
      <c r="E45">
        <v>4848</v>
      </c>
      <c r="F45" t="s">
        <v>12</v>
      </c>
    </row>
    <row r="46" spans="1:6" x14ac:dyDescent="0.3">
      <c r="A46" t="s">
        <v>54</v>
      </c>
      <c r="B46">
        <v>39</v>
      </c>
      <c r="C46">
        <v>46567</v>
      </c>
      <c r="D46">
        <v>5</v>
      </c>
      <c r="E46">
        <v>4447</v>
      </c>
      <c r="F46" t="s">
        <v>12</v>
      </c>
    </row>
    <row r="47" spans="1:6" x14ac:dyDescent="0.3">
      <c r="A47" t="s">
        <v>55</v>
      </c>
      <c r="B47">
        <v>30</v>
      </c>
      <c r="C47">
        <v>40095</v>
      </c>
      <c r="D47">
        <v>8</v>
      </c>
      <c r="E47">
        <v>1116</v>
      </c>
      <c r="F47" t="s">
        <v>14</v>
      </c>
    </row>
    <row r="48" spans="1:6" x14ac:dyDescent="0.3">
      <c r="A48" t="s">
        <v>56</v>
      </c>
      <c r="B48">
        <v>26</v>
      </c>
      <c r="C48">
        <v>113647</v>
      </c>
      <c r="D48">
        <v>7</v>
      </c>
      <c r="E48">
        <v>3496</v>
      </c>
      <c r="F48" t="s">
        <v>7</v>
      </c>
    </row>
    <row r="49" spans="1:6" x14ac:dyDescent="0.3">
      <c r="A49" t="s">
        <v>57</v>
      </c>
      <c r="B49">
        <v>28</v>
      </c>
      <c r="C49">
        <v>26824</v>
      </c>
      <c r="D49">
        <v>5</v>
      </c>
      <c r="E49">
        <v>4895</v>
      </c>
      <c r="F49" t="s">
        <v>7</v>
      </c>
    </row>
    <row r="50" spans="1:6" x14ac:dyDescent="0.3">
      <c r="A50" t="s">
        <v>58</v>
      </c>
      <c r="B50">
        <v>44</v>
      </c>
      <c r="C50">
        <v>73311</v>
      </c>
      <c r="D50">
        <v>5</v>
      </c>
      <c r="E50">
        <v>3621</v>
      </c>
      <c r="F50" t="s">
        <v>9</v>
      </c>
    </row>
    <row r="51" spans="1:6" x14ac:dyDescent="0.3">
      <c r="A51" t="s">
        <v>59</v>
      </c>
      <c r="B51">
        <v>22</v>
      </c>
      <c r="C51">
        <v>113452</v>
      </c>
      <c r="D51">
        <v>4</v>
      </c>
      <c r="E51">
        <v>4362</v>
      </c>
      <c r="F51" t="s">
        <v>12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ADA3-A0B3-4AFF-A221-0B5B84604BBC}">
  <sheetPr>
    <pageSetUpPr fitToPage="1"/>
  </sheetPr>
  <dimension ref="A1:H21"/>
  <sheetViews>
    <sheetView workbookViewId="0">
      <selection activeCell="A17" sqref="A17:B21"/>
    </sheetView>
  </sheetViews>
  <sheetFormatPr defaultRowHeight="14.4" x14ac:dyDescent="0.3"/>
  <cols>
    <col min="1" max="1" width="16.5546875" bestFit="1" customWidth="1"/>
    <col min="2" max="2" width="12.6640625" bestFit="1" customWidth="1"/>
    <col min="3" max="3" width="16.5546875" bestFit="1" customWidth="1"/>
    <col min="4" max="4" width="12.6640625" bestFit="1" customWidth="1"/>
    <col min="5" max="5" width="17.88671875" bestFit="1" customWidth="1"/>
    <col min="6" max="6" width="12.6640625" bestFit="1" customWidth="1"/>
    <col min="7" max="7" width="16.5546875" bestFit="1" customWidth="1"/>
    <col min="8" max="8" width="12.6640625" bestFit="1" customWidth="1"/>
  </cols>
  <sheetData>
    <row r="1" spans="1:8" x14ac:dyDescent="0.3">
      <c r="A1" s="3" t="s">
        <v>1</v>
      </c>
      <c r="B1" s="3"/>
      <c r="C1" s="3" t="s">
        <v>2</v>
      </c>
      <c r="D1" s="3"/>
      <c r="E1" s="3" t="s">
        <v>3</v>
      </c>
      <c r="F1" s="3"/>
      <c r="G1" s="3" t="s">
        <v>4</v>
      </c>
      <c r="H1" s="3"/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s="2" t="s">
        <v>62</v>
      </c>
      <c r="B3" s="2">
        <v>36.76</v>
      </c>
      <c r="C3" s="2" t="s">
        <v>62</v>
      </c>
      <c r="D3" s="2">
        <v>79343.98</v>
      </c>
      <c r="E3" s="2" t="s">
        <v>62</v>
      </c>
      <c r="F3" s="2">
        <v>5.56</v>
      </c>
      <c r="G3" s="2" t="s">
        <v>62</v>
      </c>
      <c r="H3" s="2">
        <v>3092.52</v>
      </c>
    </row>
    <row r="4" spans="1:8" x14ac:dyDescent="0.3">
      <c r="A4" s="2" t="s">
        <v>63</v>
      </c>
      <c r="B4" s="2">
        <v>1.5066004440325849</v>
      </c>
      <c r="C4" s="2" t="s">
        <v>63</v>
      </c>
      <c r="D4" s="2">
        <v>4084.0699668685334</v>
      </c>
      <c r="E4" s="2" t="s">
        <v>63</v>
      </c>
      <c r="F4" s="2">
        <v>0.3770562671159684</v>
      </c>
      <c r="G4" s="2" t="s">
        <v>63</v>
      </c>
      <c r="H4" s="2">
        <v>163.97911574343851</v>
      </c>
    </row>
    <row r="5" spans="1:8" x14ac:dyDescent="0.3">
      <c r="A5" s="2" t="s">
        <v>64</v>
      </c>
      <c r="B5" s="2">
        <v>37.5</v>
      </c>
      <c r="C5" s="2" t="s">
        <v>64</v>
      </c>
      <c r="D5" s="2">
        <v>82301.5</v>
      </c>
      <c r="E5" s="2" t="s">
        <v>64</v>
      </c>
      <c r="F5" s="2">
        <v>5.5</v>
      </c>
      <c r="G5" s="2" t="s">
        <v>64</v>
      </c>
      <c r="H5" s="2">
        <v>3132</v>
      </c>
    </row>
    <row r="6" spans="1:8" x14ac:dyDescent="0.3">
      <c r="A6" s="2" t="s">
        <v>65</v>
      </c>
      <c r="B6" s="2">
        <v>39</v>
      </c>
      <c r="C6" s="2" t="s">
        <v>65</v>
      </c>
      <c r="D6" s="2" t="e">
        <v>#N/A</v>
      </c>
      <c r="E6" s="2" t="s">
        <v>65</v>
      </c>
      <c r="F6" s="2">
        <v>8</v>
      </c>
      <c r="G6" s="2" t="s">
        <v>65</v>
      </c>
      <c r="H6" s="2" t="e">
        <v>#N/A</v>
      </c>
    </row>
    <row r="7" spans="1:8" x14ac:dyDescent="0.3">
      <c r="A7" s="2" t="s">
        <v>66</v>
      </c>
      <c r="B7" s="2">
        <v>10.653273905141043</v>
      </c>
      <c r="C7" s="2" t="s">
        <v>66</v>
      </c>
      <c r="D7" s="2">
        <v>28878.735684130585</v>
      </c>
      <c r="E7" s="2" t="s">
        <v>66</v>
      </c>
      <c r="F7" s="2">
        <v>2.666190433665875</v>
      </c>
      <c r="G7" s="2" t="s">
        <v>66</v>
      </c>
      <c r="H7" s="2">
        <v>1159.5074471515914</v>
      </c>
    </row>
    <row r="8" spans="1:8" x14ac:dyDescent="0.3">
      <c r="A8" s="2" t="s">
        <v>67</v>
      </c>
      <c r="B8" s="2">
        <v>113.49224489795908</v>
      </c>
      <c r="C8" s="2" t="s">
        <v>67</v>
      </c>
      <c r="D8" s="2">
        <v>833981374.7138772</v>
      </c>
      <c r="E8" s="2" t="s">
        <v>67</v>
      </c>
      <c r="F8" s="2">
        <v>7.1085714285714277</v>
      </c>
      <c r="G8" s="2" t="s">
        <v>67</v>
      </c>
      <c r="H8" s="2">
        <v>1344457.5200000005</v>
      </c>
    </row>
    <row r="9" spans="1:8" x14ac:dyDescent="0.3">
      <c r="A9" s="2" t="s">
        <v>68</v>
      </c>
      <c r="B9" s="2">
        <v>-1.1704173329560237</v>
      </c>
      <c r="C9" s="2" t="s">
        <v>68</v>
      </c>
      <c r="D9" s="2">
        <v>-1.1374296443799423</v>
      </c>
      <c r="E9" s="2" t="s">
        <v>68</v>
      </c>
      <c r="F9" s="2">
        <v>-1.0888718266094166</v>
      </c>
      <c r="G9" s="2" t="s">
        <v>68</v>
      </c>
      <c r="H9" s="2">
        <v>-0.834103042992695</v>
      </c>
    </row>
    <row r="10" spans="1:8" x14ac:dyDescent="0.3">
      <c r="A10" s="2" t="s">
        <v>69</v>
      </c>
      <c r="B10" s="2">
        <v>9.2461642640124284E-2</v>
      </c>
      <c r="C10" s="2" t="s">
        <v>69</v>
      </c>
      <c r="D10" s="2">
        <v>-0.4133961692925564</v>
      </c>
      <c r="E10" s="2" t="s">
        <v>69</v>
      </c>
      <c r="F10" s="2">
        <v>-0.13679521538307993</v>
      </c>
      <c r="G10" s="2" t="s">
        <v>69</v>
      </c>
      <c r="H10" s="2">
        <v>-0.40222159889796888</v>
      </c>
    </row>
    <row r="11" spans="1:8" x14ac:dyDescent="0.3">
      <c r="A11" s="2" t="s">
        <v>70</v>
      </c>
      <c r="B11" s="2">
        <v>34</v>
      </c>
      <c r="C11" s="2" t="s">
        <v>70</v>
      </c>
      <c r="D11" s="2">
        <v>92696</v>
      </c>
      <c r="E11" s="2" t="s">
        <v>70</v>
      </c>
      <c r="F11" s="2">
        <v>9</v>
      </c>
      <c r="G11" s="2" t="s">
        <v>70</v>
      </c>
      <c r="H11" s="2">
        <v>4386</v>
      </c>
    </row>
    <row r="12" spans="1:8" x14ac:dyDescent="0.3">
      <c r="A12" s="2" t="s">
        <v>71</v>
      </c>
      <c r="B12" s="2">
        <v>21</v>
      </c>
      <c r="C12" s="2" t="s">
        <v>71</v>
      </c>
      <c r="D12" s="2">
        <v>25336</v>
      </c>
      <c r="E12" s="2" t="s">
        <v>71</v>
      </c>
      <c r="F12" s="2">
        <v>1</v>
      </c>
      <c r="G12" s="2" t="s">
        <v>71</v>
      </c>
      <c r="H12" s="2">
        <v>509</v>
      </c>
    </row>
    <row r="13" spans="1:8" x14ac:dyDescent="0.3">
      <c r="A13" s="2" t="s">
        <v>72</v>
      </c>
      <c r="B13" s="2">
        <v>55</v>
      </c>
      <c r="C13" s="2" t="s">
        <v>72</v>
      </c>
      <c r="D13" s="2">
        <v>118032</v>
      </c>
      <c r="E13" s="2" t="s">
        <v>72</v>
      </c>
      <c r="F13" s="2">
        <v>10</v>
      </c>
      <c r="G13" s="2" t="s">
        <v>72</v>
      </c>
      <c r="H13" s="2">
        <v>4895</v>
      </c>
    </row>
    <row r="14" spans="1:8" x14ac:dyDescent="0.3">
      <c r="A14" s="2" t="s">
        <v>73</v>
      </c>
      <c r="B14" s="2">
        <v>1838</v>
      </c>
      <c r="C14" s="2" t="s">
        <v>73</v>
      </c>
      <c r="D14" s="2">
        <v>3967199</v>
      </c>
      <c r="E14" s="2" t="s">
        <v>73</v>
      </c>
      <c r="F14" s="2">
        <v>278</v>
      </c>
      <c r="G14" s="2" t="s">
        <v>73</v>
      </c>
      <c r="H14" s="2">
        <v>154626</v>
      </c>
    </row>
    <row r="15" spans="1:8" x14ac:dyDescent="0.3">
      <c r="A15" s="7" t="s">
        <v>74</v>
      </c>
      <c r="B15" s="7">
        <v>50</v>
      </c>
      <c r="C15" s="7" t="s">
        <v>74</v>
      </c>
      <c r="D15" s="7">
        <v>50</v>
      </c>
      <c r="E15" s="7" t="s">
        <v>74</v>
      </c>
      <c r="F15" s="7">
        <v>50</v>
      </c>
      <c r="G15" s="7" t="s">
        <v>74</v>
      </c>
      <c r="H15" s="7">
        <v>50</v>
      </c>
    </row>
    <row r="17" spans="1:2" x14ac:dyDescent="0.3">
      <c r="A17" s="4" t="s">
        <v>5</v>
      </c>
      <c r="B17" s="5"/>
    </row>
    <row r="18" spans="1:2" x14ac:dyDescent="0.3">
      <c r="A18" t="s">
        <v>12</v>
      </c>
      <c r="B18">
        <f>COUNTIF(Online_Shopping!F2:F51,"Cash")</f>
        <v>15</v>
      </c>
    </row>
    <row r="19" spans="1:2" x14ac:dyDescent="0.3">
      <c r="A19" t="s">
        <v>14</v>
      </c>
      <c r="B19">
        <f>COUNTIF(Online_Shopping!F2:F51,"Card")</f>
        <v>11</v>
      </c>
    </row>
    <row r="20" spans="1:2" x14ac:dyDescent="0.3">
      <c r="A20" t="s">
        <v>9</v>
      </c>
      <c r="B20">
        <f>COUNTIF(Online_Shopping!F2:F51,"UPI")</f>
        <v>10</v>
      </c>
    </row>
    <row r="21" spans="1:2" x14ac:dyDescent="0.3">
      <c r="A21" s="6" t="s">
        <v>75</v>
      </c>
      <c r="B21" s="6">
        <f>COUNTIF(Online_Shopping!F2:F51,"NetBanking")</f>
        <v>14</v>
      </c>
    </row>
  </sheetData>
  <pageMargins left="0.7" right="0.7" top="0.75" bottom="0.75" header="0.3" footer="0.3"/>
  <pageSetup paperSize="9" scale="7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065B-1DBD-461B-98A4-F529E03B8BF6}">
  <dimension ref="A1:O51"/>
  <sheetViews>
    <sheetView tabSelected="1" workbookViewId="0">
      <selection activeCell="I6" sqref="I6"/>
    </sheetView>
  </sheetViews>
  <sheetFormatPr defaultRowHeight="14.4" x14ac:dyDescent="0.3"/>
  <cols>
    <col min="2" max="2" width="8.6640625" customWidth="1"/>
    <col min="3" max="3" width="14.109375" bestFit="1" customWidth="1"/>
    <col min="4" max="4" width="17.77734375" bestFit="1" customWidth="1"/>
    <col min="5" max="5" width="10" bestFit="1" customWidth="1"/>
    <col min="6" max="6" width="13.109375" bestFit="1" customWidth="1"/>
    <col min="8" max="8" width="16.5546875" bestFit="1" customWidth="1"/>
    <col min="10" max="10" width="16.5546875" bestFit="1" customWidth="1"/>
    <col min="12" max="12" width="17.88671875" bestFit="1" customWidth="1"/>
    <col min="14" max="14" width="16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ht="15" thickBot="1" x14ac:dyDescent="0.35">
      <c r="A2" t="s">
        <v>6</v>
      </c>
      <c r="B2">
        <v>23</v>
      </c>
      <c r="C2">
        <v>89942</v>
      </c>
      <c r="D2">
        <v>5</v>
      </c>
      <c r="E2">
        <v>3780</v>
      </c>
      <c r="F2" t="s">
        <v>7</v>
      </c>
    </row>
    <row r="3" spans="1:15" x14ac:dyDescent="0.3">
      <c r="A3" t="s">
        <v>8</v>
      </c>
      <c r="B3">
        <v>41</v>
      </c>
      <c r="C3">
        <v>36542</v>
      </c>
      <c r="D3">
        <v>6</v>
      </c>
      <c r="E3">
        <v>2567</v>
      </c>
      <c r="F3" t="s">
        <v>9</v>
      </c>
      <c r="H3" s="3" t="s">
        <v>1</v>
      </c>
      <c r="I3" s="3"/>
      <c r="J3" s="3" t="s">
        <v>2</v>
      </c>
      <c r="K3" s="3"/>
      <c r="L3" s="3" t="s">
        <v>3</v>
      </c>
      <c r="M3" s="3"/>
      <c r="N3" s="3" t="s">
        <v>4</v>
      </c>
      <c r="O3" s="3"/>
    </row>
    <row r="4" spans="1:15" x14ac:dyDescent="0.3">
      <c r="A4" t="s">
        <v>10</v>
      </c>
      <c r="B4">
        <v>55</v>
      </c>
      <c r="C4">
        <v>77976</v>
      </c>
      <c r="D4">
        <v>9</v>
      </c>
      <c r="E4">
        <v>509</v>
      </c>
      <c r="F4" t="s">
        <v>7</v>
      </c>
      <c r="H4" s="2"/>
      <c r="I4" s="2"/>
      <c r="J4" s="2"/>
      <c r="K4" s="2"/>
      <c r="L4" s="2"/>
      <c r="M4" s="2"/>
      <c r="N4" s="2"/>
      <c r="O4" s="2"/>
    </row>
    <row r="5" spans="1:15" x14ac:dyDescent="0.3">
      <c r="A5" t="s">
        <v>11</v>
      </c>
      <c r="B5">
        <v>54</v>
      </c>
      <c r="C5">
        <v>79165</v>
      </c>
      <c r="D5">
        <v>1</v>
      </c>
      <c r="E5">
        <v>2036</v>
      </c>
      <c r="F5" t="s">
        <v>12</v>
      </c>
      <c r="H5" s="2" t="s">
        <v>62</v>
      </c>
      <c r="I5">
        <f>AVERAGE(B1:B51)</f>
        <v>36.76</v>
      </c>
      <c r="J5" s="2" t="s">
        <v>62</v>
      </c>
      <c r="L5" s="2" t="s">
        <v>62</v>
      </c>
      <c r="N5" s="2" t="s">
        <v>62</v>
      </c>
    </row>
    <row r="6" spans="1:15" x14ac:dyDescent="0.3">
      <c r="A6" t="s">
        <v>13</v>
      </c>
      <c r="B6">
        <v>24</v>
      </c>
      <c r="C6">
        <v>106609</v>
      </c>
      <c r="D6">
        <v>8</v>
      </c>
      <c r="E6">
        <v>4121</v>
      </c>
      <c r="F6" t="s">
        <v>14</v>
      </c>
      <c r="H6" s="2" t="s">
        <v>63</v>
      </c>
      <c r="J6" s="2" t="s">
        <v>63</v>
      </c>
      <c r="L6" s="2" t="s">
        <v>63</v>
      </c>
      <c r="N6" s="2" t="s">
        <v>63</v>
      </c>
    </row>
    <row r="7" spans="1:15" x14ac:dyDescent="0.3">
      <c r="A7" t="s">
        <v>15</v>
      </c>
      <c r="B7">
        <v>39</v>
      </c>
      <c r="C7">
        <v>60003</v>
      </c>
      <c r="D7">
        <v>9</v>
      </c>
      <c r="E7">
        <v>1573</v>
      </c>
      <c r="F7" t="s">
        <v>7</v>
      </c>
      <c r="H7" s="2" t="s">
        <v>64</v>
      </c>
      <c r="J7" s="2" t="s">
        <v>64</v>
      </c>
      <c r="L7" s="2" t="s">
        <v>64</v>
      </c>
      <c r="N7" s="2" t="s">
        <v>64</v>
      </c>
    </row>
    <row r="8" spans="1:15" x14ac:dyDescent="0.3">
      <c r="A8" t="s">
        <v>16</v>
      </c>
      <c r="B8">
        <v>22</v>
      </c>
      <c r="C8">
        <v>116521</v>
      </c>
      <c r="D8">
        <v>8</v>
      </c>
      <c r="E8">
        <v>1494</v>
      </c>
      <c r="F8" t="s">
        <v>14</v>
      </c>
      <c r="H8" s="2" t="s">
        <v>65</v>
      </c>
      <c r="J8" s="2" t="s">
        <v>65</v>
      </c>
      <c r="L8" s="2" t="s">
        <v>65</v>
      </c>
      <c r="N8" s="2" t="s">
        <v>65</v>
      </c>
    </row>
    <row r="9" spans="1:15" x14ac:dyDescent="0.3">
      <c r="A9" t="s">
        <v>17</v>
      </c>
      <c r="B9">
        <v>21</v>
      </c>
      <c r="C9">
        <v>118032</v>
      </c>
      <c r="D9">
        <v>3</v>
      </c>
      <c r="E9">
        <v>3045</v>
      </c>
      <c r="F9" t="s">
        <v>7</v>
      </c>
      <c r="H9" s="2" t="s">
        <v>66</v>
      </c>
      <c r="J9" s="2" t="s">
        <v>66</v>
      </c>
      <c r="L9" s="2" t="s">
        <v>66</v>
      </c>
      <c r="N9" s="2" t="s">
        <v>66</v>
      </c>
    </row>
    <row r="10" spans="1:15" x14ac:dyDescent="0.3">
      <c r="A10" t="s">
        <v>18</v>
      </c>
      <c r="B10">
        <v>50</v>
      </c>
      <c r="C10">
        <v>37217</v>
      </c>
      <c r="D10">
        <v>4</v>
      </c>
      <c r="E10">
        <v>1429</v>
      </c>
      <c r="F10" t="s">
        <v>9</v>
      </c>
      <c r="H10" s="2" t="s">
        <v>67</v>
      </c>
      <c r="J10" s="2" t="s">
        <v>67</v>
      </c>
      <c r="L10" s="2" t="s">
        <v>67</v>
      </c>
      <c r="N10" s="2" t="s">
        <v>67</v>
      </c>
    </row>
    <row r="11" spans="1:15" x14ac:dyDescent="0.3">
      <c r="A11" t="s">
        <v>19</v>
      </c>
      <c r="B11">
        <v>39</v>
      </c>
      <c r="C11">
        <v>109896</v>
      </c>
      <c r="D11">
        <v>3</v>
      </c>
      <c r="E11">
        <v>4582</v>
      </c>
      <c r="F11" t="s">
        <v>12</v>
      </c>
      <c r="H11" s="2" t="s">
        <v>68</v>
      </c>
      <c r="J11" s="2" t="s">
        <v>68</v>
      </c>
      <c r="L11" s="2" t="s">
        <v>68</v>
      </c>
      <c r="N11" s="2" t="s">
        <v>68</v>
      </c>
    </row>
    <row r="12" spans="1:15" x14ac:dyDescent="0.3">
      <c r="A12" t="s">
        <v>20</v>
      </c>
      <c r="B12">
        <v>36</v>
      </c>
      <c r="C12">
        <v>79459</v>
      </c>
      <c r="D12">
        <v>8</v>
      </c>
      <c r="E12">
        <v>4368</v>
      </c>
      <c r="F12" t="s">
        <v>7</v>
      </c>
      <c r="H12" s="2" t="s">
        <v>69</v>
      </c>
      <c r="J12" s="2" t="s">
        <v>69</v>
      </c>
      <c r="L12" s="2" t="s">
        <v>69</v>
      </c>
      <c r="N12" s="2" t="s">
        <v>69</v>
      </c>
    </row>
    <row r="13" spans="1:15" x14ac:dyDescent="0.3">
      <c r="A13" t="s">
        <v>21</v>
      </c>
      <c r="B13">
        <v>33</v>
      </c>
      <c r="C13">
        <v>97255</v>
      </c>
      <c r="D13">
        <v>3</v>
      </c>
      <c r="E13">
        <v>3642</v>
      </c>
      <c r="F13" t="s">
        <v>14</v>
      </c>
      <c r="H13" s="2" t="s">
        <v>70</v>
      </c>
      <c r="J13" s="2" t="s">
        <v>70</v>
      </c>
      <c r="L13" s="2" t="s">
        <v>70</v>
      </c>
      <c r="N13" s="2" t="s">
        <v>70</v>
      </c>
    </row>
    <row r="14" spans="1:15" x14ac:dyDescent="0.3">
      <c r="A14" t="s">
        <v>22</v>
      </c>
      <c r="B14">
        <v>42</v>
      </c>
      <c r="C14">
        <v>34150</v>
      </c>
      <c r="D14">
        <v>5</v>
      </c>
      <c r="E14">
        <v>3899</v>
      </c>
      <c r="F14" t="s">
        <v>12</v>
      </c>
      <c r="H14" s="2" t="s">
        <v>71</v>
      </c>
      <c r="J14" s="2" t="s">
        <v>71</v>
      </c>
      <c r="L14" s="2" t="s">
        <v>71</v>
      </c>
      <c r="N14" s="2" t="s">
        <v>71</v>
      </c>
    </row>
    <row r="15" spans="1:15" x14ac:dyDescent="0.3">
      <c r="A15" t="s">
        <v>23</v>
      </c>
      <c r="B15">
        <v>52</v>
      </c>
      <c r="C15">
        <v>25336</v>
      </c>
      <c r="D15">
        <v>5</v>
      </c>
      <c r="E15">
        <v>2945</v>
      </c>
      <c r="F15" t="s">
        <v>14</v>
      </c>
      <c r="H15" s="2" t="s">
        <v>72</v>
      </c>
      <c r="J15" s="2" t="s">
        <v>72</v>
      </c>
      <c r="L15" s="2" t="s">
        <v>72</v>
      </c>
      <c r="N15" s="2" t="s">
        <v>72</v>
      </c>
    </row>
    <row r="16" spans="1:15" x14ac:dyDescent="0.3">
      <c r="A16" t="s">
        <v>24</v>
      </c>
      <c r="B16">
        <v>43</v>
      </c>
      <c r="C16">
        <v>83529</v>
      </c>
      <c r="D16">
        <v>9</v>
      </c>
      <c r="E16">
        <v>4467</v>
      </c>
      <c r="F16" t="s">
        <v>12</v>
      </c>
      <c r="H16" s="2" t="s">
        <v>73</v>
      </c>
      <c r="J16" s="2" t="s">
        <v>73</v>
      </c>
      <c r="L16" s="2" t="s">
        <v>73</v>
      </c>
      <c r="N16" s="2" t="s">
        <v>73</v>
      </c>
    </row>
    <row r="17" spans="1:15" x14ac:dyDescent="0.3">
      <c r="A17" t="s">
        <v>25</v>
      </c>
      <c r="B17">
        <v>50</v>
      </c>
      <c r="C17">
        <v>97340</v>
      </c>
      <c r="D17">
        <v>9</v>
      </c>
      <c r="E17">
        <v>3590</v>
      </c>
      <c r="F17" t="s">
        <v>12</v>
      </c>
      <c r="H17" s="7" t="s">
        <v>74</v>
      </c>
      <c r="I17" s="6"/>
      <c r="J17" s="7" t="s">
        <v>74</v>
      </c>
      <c r="K17" s="6"/>
      <c r="L17" s="7" t="s">
        <v>74</v>
      </c>
      <c r="M17" s="6"/>
      <c r="N17" s="7" t="s">
        <v>74</v>
      </c>
      <c r="O17" s="6"/>
    </row>
    <row r="18" spans="1:15" x14ac:dyDescent="0.3">
      <c r="A18" t="s">
        <v>26</v>
      </c>
      <c r="B18">
        <v>35</v>
      </c>
      <c r="C18">
        <v>49727</v>
      </c>
      <c r="D18">
        <v>4</v>
      </c>
      <c r="E18">
        <v>3637</v>
      </c>
      <c r="F18" t="s">
        <v>7</v>
      </c>
    </row>
    <row r="19" spans="1:15" x14ac:dyDescent="0.3">
      <c r="A19" t="s">
        <v>27</v>
      </c>
      <c r="B19">
        <v>45</v>
      </c>
      <c r="C19">
        <v>30720</v>
      </c>
      <c r="D19">
        <v>6</v>
      </c>
      <c r="E19">
        <v>4374</v>
      </c>
      <c r="F19" t="s">
        <v>7</v>
      </c>
      <c r="H19" s="4" t="s">
        <v>5</v>
      </c>
      <c r="I19" s="5"/>
    </row>
    <row r="20" spans="1:15" x14ac:dyDescent="0.3">
      <c r="A20" t="s">
        <v>28</v>
      </c>
      <c r="B20">
        <v>23</v>
      </c>
      <c r="C20">
        <v>111991</v>
      </c>
      <c r="D20">
        <v>3</v>
      </c>
      <c r="E20">
        <v>4557</v>
      </c>
      <c r="F20" t="s">
        <v>14</v>
      </c>
      <c r="H20" t="s">
        <v>12</v>
      </c>
      <c r="I20">
        <f>COUNTIF(F2:F51,"Cash")</f>
        <v>15</v>
      </c>
    </row>
    <row r="21" spans="1:15" x14ac:dyDescent="0.3">
      <c r="A21" t="s">
        <v>29</v>
      </c>
      <c r="B21">
        <v>27</v>
      </c>
      <c r="C21">
        <v>90836</v>
      </c>
      <c r="D21">
        <v>10</v>
      </c>
      <c r="E21">
        <v>3219</v>
      </c>
      <c r="F21" t="s">
        <v>7</v>
      </c>
      <c r="H21" t="s">
        <v>14</v>
      </c>
      <c r="I21">
        <f>COUNTIF(F2:F51,"Card")</f>
        <v>11</v>
      </c>
    </row>
    <row r="22" spans="1:15" x14ac:dyDescent="0.3">
      <c r="A22" t="s">
        <v>30</v>
      </c>
      <c r="B22">
        <v>21</v>
      </c>
      <c r="C22">
        <v>38069</v>
      </c>
      <c r="D22">
        <v>9</v>
      </c>
      <c r="E22">
        <v>4243</v>
      </c>
      <c r="F22" t="s">
        <v>14</v>
      </c>
      <c r="H22" t="s">
        <v>9</v>
      </c>
      <c r="I22">
        <f>COUNTIF(F2:F51,"UPI")</f>
        <v>10</v>
      </c>
    </row>
    <row r="23" spans="1:15" x14ac:dyDescent="0.3">
      <c r="A23" t="s">
        <v>31</v>
      </c>
      <c r="B23">
        <v>51</v>
      </c>
      <c r="C23">
        <v>78736</v>
      </c>
      <c r="D23">
        <v>3</v>
      </c>
      <c r="E23">
        <v>1112</v>
      </c>
      <c r="F23" t="s">
        <v>12</v>
      </c>
      <c r="H23" s="6" t="s">
        <v>75</v>
      </c>
      <c r="I23" s="6">
        <f>COUNTIF(F2:F51,"NetBanking")</f>
        <v>14</v>
      </c>
    </row>
    <row r="24" spans="1:15" x14ac:dyDescent="0.3">
      <c r="A24" t="s">
        <v>32</v>
      </c>
      <c r="B24">
        <v>26</v>
      </c>
      <c r="C24">
        <v>69375</v>
      </c>
      <c r="D24">
        <v>10</v>
      </c>
      <c r="E24">
        <v>3756</v>
      </c>
      <c r="F24" t="s">
        <v>12</v>
      </c>
    </row>
    <row r="25" spans="1:15" x14ac:dyDescent="0.3">
      <c r="A25" t="s">
        <v>33</v>
      </c>
      <c r="B25">
        <v>41</v>
      </c>
      <c r="C25">
        <v>113389</v>
      </c>
      <c r="D25">
        <v>9</v>
      </c>
      <c r="E25">
        <v>3613</v>
      </c>
      <c r="F25" t="s">
        <v>7</v>
      </c>
    </row>
    <row r="26" spans="1:15" x14ac:dyDescent="0.3">
      <c r="A26" t="s">
        <v>34</v>
      </c>
      <c r="B26">
        <v>36</v>
      </c>
      <c r="C26">
        <v>95912</v>
      </c>
      <c r="D26">
        <v>1</v>
      </c>
      <c r="E26">
        <v>1060</v>
      </c>
      <c r="F26" t="s">
        <v>12</v>
      </c>
    </row>
    <row r="27" spans="1:15" x14ac:dyDescent="0.3">
      <c r="A27" t="s">
        <v>35</v>
      </c>
      <c r="B27">
        <v>27</v>
      </c>
      <c r="C27">
        <v>54817</v>
      </c>
      <c r="D27">
        <v>2</v>
      </c>
      <c r="E27">
        <v>4055</v>
      </c>
      <c r="F27" t="s">
        <v>9</v>
      </c>
    </row>
    <row r="28" spans="1:15" x14ac:dyDescent="0.3">
      <c r="A28" t="s">
        <v>36</v>
      </c>
      <c r="B28">
        <v>22</v>
      </c>
      <c r="C28">
        <v>83153</v>
      </c>
      <c r="D28">
        <v>3</v>
      </c>
      <c r="E28">
        <v>2953</v>
      </c>
      <c r="F28" t="s">
        <v>9</v>
      </c>
    </row>
    <row r="29" spans="1:15" x14ac:dyDescent="0.3">
      <c r="A29" t="s">
        <v>37</v>
      </c>
      <c r="B29">
        <v>43</v>
      </c>
      <c r="C29">
        <v>67516</v>
      </c>
      <c r="D29">
        <v>1</v>
      </c>
      <c r="E29">
        <v>2903</v>
      </c>
      <c r="F29" t="s">
        <v>12</v>
      </c>
    </row>
    <row r="30" spans="1:15" x14ac:dyDescent="0.3">
      <c r="A30" t="s">
        <v>38</v>
      </c>
      <c r="B30">
        <v>54</v>
      </c>
      <c r="C30">
        <v>81450</v>
      </c>
      <c r="D30">
        <v>3</v>
      </c>
      <c r="E30">
        <v>2500</v>
      </c>
      <c r="F30" t="s">
        <v>7</v>
      </c>
    </row>
    <row r="31" spans="1:15" x14ac:dyDescent="0.3">
      <c r="A31" t="s">
        <v>39</v>
      </c>
      <c r="B31">
        <v>32</v>
      </c>
      <c r="C31">
        <v>99177</v>
      </c>
      <c r="D31">
        <v>3</v>
      </c>
      <c r="E31">
        <v>1892</v>
      </c>
      <c r="F31" t="s">
        <v>9</v>
      </c>
    </row>
    <row r="32" spans="1:15" x14ac:dyDescent="0.3">
      <c r="A32" t="s">
        <v>40</v>
      </c>
      <c r="B32">
        <v>52</v>
      </c>
      <c r="C32">
        <v>104887</v>
      </c>
      <c r="D32">
        <v>7</v>
      </c>
      <c r="E32">
        <v>2472</v>
      </c>
      <c r="F32" t="s">
        <v>14</v>
      </c>
    </row>
    <row r="33" spans="1:6" x14ac:dyDescent="0.3">
      <c r="A33" t="s">
        <v>41</v>
      </c>
      <c r="B33">
        <v>50</v>
      </c>
      <c r="C33">
        <v>55433</v>
      </c>
      <c r="D33">
        <v>8</v>
      </c>
      <c r="E33">
        <v>2580</v>
      </c>
      <c r="F33" t="s">
        <v>12</v>
      </c>
    </row>
    <row r="34" spans="1:6" x14ac:dyDescent="0.3">
      <c r="A34" t="s">
        <v>42</v>
      </c>
      <c r="B34">
        <v>39</v>
      </c>
      <c r="C34">
        <v>112404</v>
      </c>
      <c r="D34">
        <v>1</v>
      </c>
      <c r="E34">
        <v>4311</v>
      </c>
      <c r="F34" t="s">
        <v>14</v>
      </c>
    </row>
    <row r="35" spans="1:6" x14ac:dyDescent="0.3">
      <c r="A35" t="s">
        <v>43</v>
      </c>
      <c r="B35">
        <v>40</v>
      </c>
      <c r="C35">
        <v>34681</v>
      </c>
      <c r="D35">
        <v>8</v>
      </c>
      <c r="E35">
        <v>3330</v>
      </c>
      <c r="F35" t="s">
        <v>7</v>
      </c>
    </row>
    <row r="36" spans="1:6" x14ac:dyDescent="0.3">
      <c r="A36" t="s">
        <v>44</v>
      </c>
      <c r="B36">
        <v>40</v>
      </c>
      <c r="C36">
        <v>115480</v>
      </c>
      <c r="D36">
        <v>5</v>
      </c>
      <c r="E36">
        <v>4242</v>
      </c>
      <c r="F36" t="s">
        <v>14</v>
      </c>
    </row>
    <row r="37" spans="1:6" x14ac:dyDescent="0.3">
      <c r="A37" t="s">
        <v>45</v>
      </c>
      <c r="B37">
        <v>36</v>
      </c>
      <c r="C37">
        <v>75422</v>
      </c>
      <c r="D37">
        <v>8</v>
      </c>
      <c r="E37">
        <v>1373</v>
      </c>
      <c r="F37" t="s">
        <v>7</v>
      </c>
    </row>
    <row r="38" spans="1:6" x14ac:dyDescent="0.3">
      <c r="A38" t="s">
        <v>46</v>
      </c>
      <c r="B38">
        <v>39</v>
      </c>
      <c r="C38">
        <v>99963</v>
      </c>
      <c r="D38">
        <v>6</v>
      </c>
      <c r="E38">
        <v>2923</v>
      </c>
      <c r="F38" t="s">
        <v>9</v>
      </c>
    </row>
    <row r="39" spans="1:6" x14ac:dyDescent="0.3">
      <c r="A39" t="s">
        <v>47</v>
      </c>
      <c r="B39">
        <v>21</v>
      </c>
      <c r="C39">
        <v>111275</v>
      </c>
      <c r="D39">
        <v>7</v>
      </c>
      <c r="E39">
        <v>2748</v>
      </c>
      <c r="F39" t="s">
        <v>9</v>
      </c>
    </row>
    <row r="40" spans="1:6" x14ac:dyDescent="0.3">
      <c r="A40" t="s">
        <v>48</v>
      </c>
      <c r="B40">
        <v>35</v>
      </c>
      <c r="C40">
        <v>104482</v>
      </c>
      <c r="D40">
        <v>8</v>
      </c>
      <c r="E40">
        <v>2844</v>
      </c>
      <c r="F40" t="s">
        <v>12</v>
      </c>
    </row>
    <row r="41" spans="1:6" x14ac:dyDescent="0.3">
      <c r="A41" t="s">
        <v>49</v>
      </c>
      <c r="B41">
        <v>29</v>
      </c>
      <c r="C41">
        <v>53705</v>
      </c>
      <c r="D41">
        <v>4</v>
      </c>
      <c r="E41">
        <v>2553</v>
      </c>
      <c r="F41" t="s">
        <v>9</v>
      </c>
    </row>
    <row r="42" spans="1:6" x14ac:dyDescent="0.3">
      <c r="A42" t="s">
        <v>50</v>
      </c>
      <c r="B42">
        <v>49</v>
      </c>
      <c r="C42">
        <v>107242</v>
      </c>
      <c r="D42">
        <v>1</v>
      </c>
      <c r="E42">
        <v>3030</v>
      </c>
      <c r="F42" t="s">
        <v>9</v>
      </c>
    </row>
    <row r="43" spans="1:6" x14ac:dyDescent="0.3">
      <c r="A43" t="s">
        <v>51</v>
      </c>
      <c r="B43">
        <v>26</v>
      </c>
      <c r="C43">
        <v>100965</v>
      </c>
      <c r="D43">
        <v>6</v>
      </c>
      <c r="E43">
        <v>1576</v>
      </c>
      <c r="F43" t="s">
        <v>12</v>
      </c>
    </row>
    <row r="44" spans="1:6" x14ac:dyDescent="0.3">
      <c r="A44" t="s">
        <v>52</v>
      </c>
      <c r="B44">
        <v>33</v>
      </c>
      <c r="C44">
        <v>67823</v>
      </c>
      <c r="D44">
        <v>7</v>
      </c>
      <c r="E44">
        <v>1938</v>
      </c>
      <c r="F44" t="s">
        <v>14</v>
      </c>
    </row>
    <row r="45" spans="1:6" x14ac:dyDescent="0.3">
      <c r="A45" t="s">
        <v>53</v>
      </c>
      <c r="B45">
        <v>53</v>
      </c>
      <c r="C45">
        <v>95701</v>
      </c>
      <c r="D45">
        <v>6</v>
      </c>
      <c r="E45">
        <v>4848</v>
      </c>
      <c r="F45" t="s">
        <v>12</v>
      </c>
    </row>
    <row r="46" spans="1:6" x14ac:dyDescent="0.3">
      <c r="A46" t="s">
        <v>54</v>
      </c>
      <c r="B46">
        <v>39</v>
      </c>
      <c r="C46">
        <v>46567</v>
      </c>
      <c r="D46">
        <v>5</v>
      </c>
      <c r="E46">
        <v>4447</v>
      </c>
      <c r="F46" t="s">
        <v>12</v>
      </c>
    </row>
    <row r="47" spans="1:6" x14ac:dyDescent="0.3">
      <c r="A47" t="s">
        <v>55</v>
      </c>
      <c r="B47">
        <v>30</v>
      </c>
      <c r="C47">
        <v>40095</v>
      </c>
      <c r="D47">
        <v>8</v>
      </c>
      <c r="E47">
        <v>1116</v>
      </c>
      <c r="F47" t="s">
        <v>14</v>
      </c>
    </row>
    <row r="48" spans="1:6" x14ac:dyDescent="0.3">
      <c r="A48" t="s">
        <v>56</v>
      </c>
      <c r="B48">
        <v>26</v>
      </c>
      <c r="C48">
        <v>113647</v>
      </c>
      <c r="D48">
        <v>7</v>
      </c>
      <c r="E48">
        <v>3496</v>
      </c>
      <c r="F48" t="s">
        <v>7</v>
      </c>
    </row>
    <row r="49" spans="1:6" x14ac:dyDescent="0.3">
      <c r="A49" t="s">
        <v>57</v>
      </c>
      <c r="B49">
        <v>28</v>
      </c>
      <c r="C49">
        <v>26824</v>
      </c>
      <c r="D49">
        <v>5</v>
      </c>
      <c r="E49">
        <v>4895</v>
      </c>
      <c r="F49" t="s">
        <v>7</v>
      </c>
    </row>
    <row r="50" spans="1:6" x14ac:dyDescent="0.3">
      <c r="A50" t="s">
        <v>58</v>
      </c>
      <c r="B50">
        <v>44</v>
      </c>
      <c r="C50">
        <v>73311</v>
      </c>
      <c r="D50">
        <v>5</v>
      </c>
      <c r="E50">
        <v>3621</v>
      </c>
      <c r="F50" t="s">
        <v>9</v>
      </c>
    </row>
    <row r="51" spans="1:6" x14ac:dyDescent="0.3">
      <c r="A51" t="s">
        <v>59</v>
      </c>
      <c r="B51">
        <v>22</v>
      </c>
      <c r="C51">
        <v>113452</v>
      </c>
      <c r="D51">
        <v>4</v>
      </c>
      <c r="E51">
        <v>4362</v>
      </c>
      <c r="F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Online_Shopping</vt:lpstr>
      <vt:lpstr>skills1soln</vt:lpstr>
      <vt:lpstr>skills1soln2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Thakur</dc:creator>
  <cp:lastModifiedBy>Joshua Fernandes</cp:lastModifiedBy>
  <cp:lastPrinted>2026-08-10T10:15:50Z</cp:lastPrinted>
  <dcterms:created xsi:type="dcterms:W3CDTF">2026-08-10T07:21:28Z</dcterms:created>
  <dcterms:modified xsi:type="dcterms:W3CDTF">2026-08-10T10:19:17Z</dcterms:modified>
</cp:coreProperties>
</file>